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  <sheet xmlns:r="http://schemas.openxmlformats.org/officeDocument/2006/relationships" name="NG-03" sheetId="4" state="visible" r:id="rId4"/>
    <sheet xmlns:r="http://schemas.openxmlformats.org/officeDocument/2006/relationships" name="NG-03_コー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</t>
        </is>
      </c>
      <c r="C1" t="inlineStr">
        <is>
          <t>費用</t>
        </is>
      </c>
      <c r="D1" t="inlineStr">
        <is>
          <t>利益</t>
        </is>
      </c>
    </row>
    <row r="2">
      <c r="A2" s="1" t="n">
        <v>45658</v>
      </c>
      <c r="B2" t="n">
        <v>500000</v>
      </c>
      <c r="C2" t="n">
        <v>350000</v>
      </c>
      <c r="D2" t="n">
        <v>150000</v>
      </c>
    </row>
    <row r="3">
      <c r="A3" s="1" t="n">
        <v>45689</v>
      </c>
      <c r="B3" t="n">
        <v>400000</v>
      </c>
      <c r="C3" t="n">
        <v>350000</v>
      </c>
      <c r="D3" t="n">
        <v>50000</v>
      </c>
    </row>
    <row r="4">
      <c r="A4" s="1" t="n">
        <v>45717</v>
      </c>
      <c r="B4" t="n">
        <v>300000</v>
      </c>
      <c r="C4" t="n">
        <v>350000</v>
      </c>
      <c r="D4" t="n">
        <v>-50000</v>
      </c>
    </row>
    <row r="5">
      <c r="A5" s="1" t="n">
        <v>45748</v>
      </c>
      <c r="B5" t="n">
        <v>300000</v>
      </c>
      <c r="C5" t="n">
        <v>350000</v>
      </c>
      <c r="D5" t="n">
        <v>-50000</v>
      </c>
    </row>
    <row r="6">
      <c r="A6" s="1" t="n">
        <v>45778</v>
      </c>
      <c r="B6" t="n">
        <v>500000</v>
      </c>
      <c r="C6" t="n">
        <v>350000</v>
      </c>
      <c r="D6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</t>
        </is>
      </c>
      <c r="C1" t="inlineStr">
        <is>
          <t>費用</t>
        </is>
      </c>
      <c r="D1" t="inlineStr">
        <is>
          <t>利益</t>
        </is>
      </c>
    </row>
    <row r="2">
      <c r="A2" s="1" t="n">
        <v>45658</v>
      </c>
      <c r="B2" t="n">
        <v>500000</v>
      </c>
      <c r="C2" t="n">
        <v>350000</v>
      </c>
      <c r="D2">
        <f>B2-C2</f>
        <v/>
      </c>
    </row>
    <row r="3">
      <c r="A3" s="1" t="n">
        <v>45689</v>
      </c>
      <c r="B3" t="n">
        <v>400000</v>
      </c>
      <c r="C3" t="n">
        <v>350000</v>
      </c>
      <c r="D3">
        <f>B3-C3</f>
        <v/>
      </c>
    </row>
    <row r="4">
      <c r="A4" s="1" t="n">
        <v>45717</v>
      </c>
      <c r="B4" t="n">
        <v>300000</v>
      </c>
      <c r="C4" t="n">
        <v>350000</v>
      </c>
      <c r="D4">
        <f>B4-C4</f>
        <v/>
      </c>
    </row>
    <row r="5">
      <c r="A5" s="1" t="n">
        <v>45748</v>
      </c>
      <c r="B5" t="n">
        <v>300000</v>
      </c>
      <c r="C5" t="n">
        <v>350000</v>
      </c>
      <c r="D5">
        <f>B5-C5</f>
        <v/>
      </c>
    </row>
    <row r="6">
      <c r="A6" s="1" t="n">
        <v>45778</v>
      </c>
      <c r="B6" t="n">
        <v>500000</v>
      </c>
      <c r="C6" t="n">
        <v>350000</v>
      </c>
      <c r="D6">
        <f>B6-C6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月</t>
        </is>
      </c>
      <c r="C1" t="inlineStr">
        <is>
          <t>年月</t>
        </is>
      </c>
      <c r="D1" t="inlineStr">
        <is>
          <t>売上</t>
        </is>
      </c>
      <c r="E1" t="inlineStr">
        <is>
          <t>費用</t>
        </is>
      </c>
      <c r="F1" t="inlineStr">
        <is>
          <t>利益</t>
        </is>
      </c>
    </row>
    <row r="2">
      <c r="A2" t="n">
        <v>2025</v>
      </c>
      <c r="B2" t="n">
        <v>1</v>
      </c>
      <c r="C2">
        <f>TEXT(DATE(A2,B2,1),"YY年MM月")</f>
        <v/>
      </c>
      <c r="D2" t="n">
        <v>500000</v>
      </c>
      <c r="E2" t="n">
        <v>350000</v>
      </c>
      <c r="F2" t="n">
        <v>150000</v>
      </c>
    </row>
    <row r="3">
      <c r="A3" t="n">
        <v>2025</v>
      </c>
      <c r="B3" t="n">
        <v>2</v>
      </c>
      <c r="C3">
        <f>TEXT(DATE(A3,B3,1),"YY年MM月")</f>
        <v/>
      </c>
      <c r="D3" t="n">
        <v>400000</v>
      </c>
      <c r="E3" t="n">
        <v>350000</v>
      </c>
      <c r="F3" t="n">
        <v>50000</v>
      </c>
    </row>
    <row r="4">
      <c r="A4" t="n">
        <v>2025</v>
      </c>
      <c r="B4" t="n">
        <v>3</v>
      </c>
      <c r="C4">
        <f>TEXT(DATE(A4,B4,1),"YY年MM月")</f>
        <v/>
      </c>
      <c r="D4" t="n">
        <v>300000</v>
      </c>
      <c r="E4" t="n">
        <v>350000</v>
      </c>
      <c r="F4" t="n">
        <v>-50000</v>
      </c>
    </row>
    <row r="5">
      <c r="A5" t="n">
        <v>2025</v>
      </c>
      <c r="B5" t="n">
        <v>4</v>
      </c>
      <c r="C5">
        <f>TEXT(DATE(A5,B5,1),"YY年MM月")</f>
        <v/>
      </c>
      <c r="D5" t="n">
        <v>300000</v>
      </c>
      <c r="E5" t="n">
        <v>350000</v>
      </c>
      <c r="F5" t="n">
        <v>-50000</v>
      </c>
    </row>
    <row r="6">
      <c r="A6" t="n">
        <v>2025</v>
      </c>
      <c r="B6" t="n">
        <v>5</v>
      </c>
      <c r="C6">
        <f>TEXT(DATE(A6,B6,1),"YY年MM月")</f>
        <v/>
      </c>
      <c r="D6" t="n">
        <v>500000</v>
      </c>
      <c r="E6" t="n">
        <v>350000</v>
      </c>
      <c r="F6" t="n">
        <v>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設問1コード</t>
        </is>
      </c>
      <c r="C1" t="inlineStr">
        <is>
          <t>設問1回答</t>
        </is>
      </c>
    </row>
    <row r="2">
      <c r="A2" t="n">
        <v>1</v>
      </c>
      <c r="B2" t="n">
        <v>1</v>
      </c>
      <c r="C2">
        <f>VLOOKUP(B2,'NG-03_コード'!$A:$B,2,FALSE)</f>
        <v/>
      </c>
    </row>
    <row r="3">
      <c r="A3" t="n">
        <v>2</v>
      </c>
      <c r="B3" t="n">
        <v>1</v>
      </c>
      <c r="C3">
        <f>VLOOKUP(B3,'NG-03_コード'!$A:$B,2,FALSE)</f>
        <v/>
      </c>
    </row>
    <row r="4">
      <c r="A4" t="n">
        <v>3</v>
      </c>
      <c r="B4" t="n">
        <v>4</v>
      </c>
      <c r="C4">
        <f>VLOOKUP(B4,'NG-03_コード'!$A:$B,2,FALSE)</f>
        <v/>
      </c>
    </row>
    <row r="5">
      <c r="A5" t="n">
        <v>4</v>
      </c>
      <c r="B5" t="n">
        <v>1</v>
      </c>
      <c r="C5">
        <f>VLOOKUP(B5,'NG-03_コード'!$A:$B,2,FALSE)</f>
        <v/>
      </c>
    </row>
    <row r="6">
      <c r="A6" t="n">
        <v>5</v>
      </c>
      <c r="B6" t="n">
        <v>1</v>
      </c>
      <c r="C6">
        <f>VLOOKUP(B6,'NG-03_コード'!$A:$B,2,FALSE)</f>
        <v/>
      </c>
    </row>
    <row r="7">
      <c r="A7" t="n">
        <v>6</v>
      </c>
      <c r="B7" t="n">
        <v>3</v>
      </c>
      <c r="C7">
        <f>VLOOKUP(B7,'NG-03_コード'!$A:$B,2,FALSE)</f>
        <v/>
      </c>
    </row>
    <row r="8">
      <c r="A8" t="n">
        <v>7</v>
      </c>
      <c r="B8" t="n">
        <v>1</v>
      </c>
      <c r="C8">
        <f>VLOOKUP(B8,'NG-03_コード'!$A:$B,2,FALSE)</f>
        <v/>
      </c>
    </row>
    <row r="9">
      <c r="A9" t="n">
        <v>8</v>
      </c>
      <c r="B9" t="n">
        <v>2</v>
      </c>
      <c r="C9">
        <f>VLOOKUP(B9,'NG-03_コード'!$A:$B,2,FALSE)</f>
        <v/>
      </c>
    </row>
    <row r="10">
      <c r="A10" t="n">
        <v>9</v>
      </c>
      <c r="B10" t="n">
        <v>1</v>
      </c>
      <c r="C10">
        <f>VLOOKUP(B10,'NG-03_コード'!$A:$B,2,FALSE)</f>
        <v/>
      </c>
    </row>
    <row r="11">
      <c r="A11" t="n">
        <v>10</v>
      </c>
      <c r="B11" t="n">
        <v>4</v>
      </c>
      <c r="C11">
        <f>VLOOKUP(B11,'NG-03_コード'!$A:$B,2,FALSE)</f>
        <v/>
      </c>
    </row>
    <row r="12">
      <c r="A12" t="n">
        <v>11</v>
      </c>
      <c r="B12" t="n">
        <v>2</v>
      </c>
      <c r="C12">
        <f>VLOOKUP(B12,'NG-03_コード'!$A:$B,2,FALSE)</f>
        <v/>
      </c>
    </row>
    <row r="13">
      <c r="A13" t="n">
        <v>12</v>
      </c>
      <c r="B13" t="n">
        <v>3</v>
      </c>
      <c r="C13">
        <f>VLOOKUP(B13,'NG-03_コード'!$A:$B,2,FALSE)</f>
        <v/>
      </c>
    </row>
    <row r="14">
      <c r="A14" t="n">
        <v>13</v>
      </c>
      <c r="B14" t="n">
        <v>3</v>
      </c>
      <c r="C14">
        <f>VLOOKUP(B14,'NG-03_コード'!$A:$B,2,FALSE)</f>
        <v/>
      </c>
    </row>
    <row r="15">
      <c r="A15" t="n">
        <v>14</v>
      </c>
      <c r="B15" t="n">
        <v>4</v>
      </c>
      <c r="C15">
        <f>VLOOKUP(B15,'NG-03_コード'!$A:$B,2,FALSE)</f>
        <v/>
      </c>
    </row>
    <row r="16">
      <c r="A16" t="n">
        <v>15</v>
      </c>
      <c r="B16" t="n">
        <v>3</v>
      </c>
      <c r="C16">
        <f>VLOOKUP(B16,'NG-03_コード'!$A:$B,2,FALSE)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設問1回答</t>
        </is>
      </c>
    </row>
    <row r="2">
      <c r="A2" t="n">
        <v>1</v>
      </c>
      <c r="B2" t="inlineStr">
        <is>
          <t>取組済</t>
        </is>
      </c>
    </row>
    <row r="3">
      <c r="A3" t="n">
        <v>2</v>
      </c>
      <c r="B3" t="inlineStr">
        <is>
          <t>取組予定</t>
        </is>
      </c>
    </row>
    <row r="4">
      <c r="A4" t="n">
        <v>3</v>
      </c>
      <c r="B4" t="inlineStr">
        <is>
          <t>未定</t>
        </is>
      </c>
    </row>
    <row r="5">
      <c r="A5" t="n">
        <v>4</v>
      </c>
      <c r="B5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2026-04-02T02:26:49Z</dcterms:created>
  <dcterms:modified xmlns:dcterms="http://purl.org/dc/terms/" xmlns:xsi="http://www.w3.org/2001/XMLSchema-instance" xsi:type="dcterms:W3CDTF">2026-04-02T02:26:49Z</dcterms:modified>
</cp:coreProperties>
</file>